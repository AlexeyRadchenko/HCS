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2"/>
  <workbookPr defaultThemeVersion="124226"/>
  <mc:AlternateContent xmlns:mc="http://schemas.openxmlformats.org/markup-compatibility/2006">
    <mc:Choice Requires="x15">
      <x15ac:absPath xmlns:x15ac="http://schemas.microsoft.com/office/spreadsheetml/2010/11/ac" url="D:\Projects\Housing Company Services(HCS)\back-end\mkd_works_service\api\templates\year_act\"/>
    </mc:Choice>
  </mc:AlternateContent>
  <xr:revisionPtr revIDLastSave="0" documentId="13_ncr:1_{A380884B-6305-4160-AEFA-12160DFBC061}" xr6:coauthVersionLast="47" xr6:coauthVersionMax="47" xr10:uidLastSave="{00000000-0000-0000-0000-000000000000}"/>
  <bookViews>
    <workbookView xWindow="-120" yWindow="-120" windowWidth="29040" windowHeight="15840" activeTab="1" xr2:uid="{00000000-000D-0000-FFFF-FFFF00000000}"/>
  </bookViews>
  <sheets>
    <sheet name="2022" sheetId="1" r:id="rId1"/>
    <sheet name="2023" sheetId="2" r:id="rId2"/>
    <sheet name="Лист3" sheetId="3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F20" i="2" l="1"/>
  <c r="F19" i="2"/>
  <c r="F18" i="2"/>
  <c r="F17" i="2"/>
  <c r="F16" i="2"/>
  <c r="F15" i="2"/>
  <c r="F13" i="2"/>
  <c r="F18" i="1"/>
  <c r="F15" i="1"/>
  <c r="F16" i="1"/>
  <c r="F17" i="1"/>
  <c r="F13" i="1"/>
  <c r="F19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User24</author>
  </authors>
  <commentList>
    <comment ref="F19" authorId="0" shapeId="0" xr:uid="{00000000-0006-0000-0000-000001000000}">
      <text>
        <r>
          <rPr>
            <b/>
            <sz val="9"/>
            <color indexed="81"/>
            <rFont val="Tahoma"/>
            <family val="2"/>
            <charset val="204"/>
          </rPr>
          <t xml:space="preserve">4554.13 з/плата по факту
1398.12 налоги на ФОТ
200 руб. материалы
Итого 6152.25 * 12 мес
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User24</author>
  </authors>
  <commentList>
    <comment ref="F17" authorId="0" shapeId="0" xr:uid="{00000000-0006-0000-0100-000001000000}">
      <text>
        <r>
          <rPr>
            <sz val="9"/>
            <color indexed="81"/>
            <rFont val="Tahoma"/>
            <charset val="1"/>
          </rPr>
          <t>договор с УК "ЖЭК-Максимум"
0.69 р. 1 полугодие
0.77 р. 2 полугодие</t>
        </r>
      </text>
    </comment>
    <comment ref="F18" authorId="0" shapeId="0" xr:uid="{00000000-0006-0000-0100-000002000000}">
      <text>
        <r>
          <rPr>
            <b/>
            <sz val="9"/>
            <color indexed="81"/>
            <rFont val="Tahoma"/>
            <charset val="1"/>
          </rPr>
          <t>8400 справка январь 23
3200р справка март23
2500 справка декабрь 23
4470р см 30/2023</t>
        </r>
      </text>
    </comment>
    <comment ref="F19" authorId="0" shapeId="0" xr:uid="{00000000-0006-0000-0100-000003000000}">
      <text>
        <r>
          <rPr>
            <b/>
            <sz val="9"/>
            <color indexed="81"/>
            <rFont val="Tahoma"/>
            <family val="2"/>
            <charset val="204"/>
          </rPr>
          <t xml:space="preserve">49510.63 з/плата по факту
15199.76 налоги на ФОТ
2862 руб. материалы
Итого 67572.39
</t>
        </r>
      </text>
    </comment>
    <comment ref="F20" authorId="0" shapeId="0" xr:uid="{00000000-0006-0000-0100-000004000000}">
      <text>
        <r>
          <rPr>
            <b/>
            <sz val="9"/>
            <color indexed="81"/>
            <rFont val="Tahoma"/>
            <family val="2"/>
            <charset val="204"/>
          </rPr>
          <t xml:space="preserve">12000 з/плата по факту
3684 налоги на ФОТ
3750 руб. уборка снега
Итого 67572.39
</t>
        </r>
      </text>
    </comment>
    <comment ref="B22" authorId="0" shapeId="0" xr:uid="{00000000-0006-0000-0100-000005000000}">
      <text/>
    </comment>
    <comment ref="B23" authorId="0" shapeId="0" xr:uid="{00000000-0006-0000-0100-000006000000}">
      <text>
        <r>
          <rPr>
            <b/>
            <sz val="9"/>
            <color indexed="81"/>
            <rFont val="Tahoma"/>
            <charset val="1"/>
          </rPr>
          <t>см 2/2023 от 28.04.2023г</t>
        </r>
      </text>
    </comment>
    <comment ref="B24" authorId="0" shapeId="0" xr:uid="{00000000-0006-0000-0100-000007000000}">
      <text>
        <r>
          <rPr>
            <b/>
            <sz val="9"/>
            <color indexed="81"/>
            <rFont val="Tahoma"/>
            <charset val="1"/>
          </rPr>
          <t>8233р см 3/2023
1600р. *3 ч= 4800 р</t>
        </r>
      </text>
    </comment>
    <comment ref="B25" authorId="0" shapeId="0" xr:uid="{00000000-0006-0000-0100-000008000000}">
      <text>
        <r>
          <rPr>
            <b/>
            <sz val="9"/>
            <color indexed="81"/>
            <rFont val="Tahoma"/>
            <family val="2"/>
            <charset val="204"/>
          </rPr>
          <t xml:space="preserve">см 12/2023 от 25.05.2023
</t>
        </r>
      </text>
    </comment>
    <comment ref="B26" authorId="0" shapeId="0" xr:uid="{00000000-0006-0000-0100-000009000000}">
      <text>
        <r>
          <rPr>
            <b/>
            <sz val="9"/>
            <color indexed="81"/>
            <rFont val="Tahoma"/>
            <charset val="1"/>
          </rPr>
          <t>1297р. см 6/2023 от 28.02
17435р. См 25/2023 от 16.10.2023
3360р. Транспортные расходы 2ч</t>
        </r>
      </text>
    </comment>
    <comment ref="B27" authorId="0" shapeId="0" xr:uid="{00000000-0006-0000-0100-00000A000000}">
      <text>
        <r>
          <rPr>
            <b/>
            <sz val="9"/>
            <color indexed="81"/>
            <rFont val="Tahoma"/>
            <charset val="1"/>
          </rPr>
          <t>40267.00 см 5/2023 от 30.09.2023
2624.00 см 6а/2023 от 29.09.2023</t>
        </r>
      </text>
    </comment>
    <comment ref="B28" authorId="0" shapeId="0" xr:uid="{00000000-0006-0000-0100-00000B000000}">
      <text>
        <r>
          <rPr>
            <b/>
            <sz val="9"/>
            <color indexed="81"/>
            <rFont val="Tahoma"/>
            <charset val="1"/>
          </rPr>
          <t>см 28/2023 от 18.12.2023</t>
        </r>
      </text>
    </comment>
  </commentList>
</comments>
</file>

<file path=xl/sharedStrings.xml><?xml version="1.0" encoding="utf-8"?>
<sst xmlns="http://schemas.openxmlformats.org/spreadsheetml/2006/main" count="124" uniqueCount="62">
  <si>
    <t xml:space="preserve">         АКТ №__1____</t>
  </si>
  <si>
    <t xml:space="preserve">приемки оказанных услуг и (или) выполненных работ по содержанию и текущему ремонту общего имущества в </t>
  </si>
  <si>
    <t>1. Исполнителем предъявлены к приемке следующие оказанные на основании договора управления многоквартирным домом услуги и (или)</t>
  </si>
  <si>
    <t>№ п/п</t>
  </si>
  <si>
    <t>Наименование вида работы (услуги)</t>
  </si>
  <si>
    <t>Периодич-ность, в год</t>
  </si>
  <si>
    <t>Кол-во единиц измерений</t>
  </si>
  <si>
    <t>Стоимость оказанной услуги за единицу, руб/м2</t>
  </si>
  <si>
    <t>Цена выполненной работы (оказанной услуги)в рублях</t>
  </si>
  <si>
    <t>3. Работы ( услуги) выполнены ( оказаны) полностью, в установленные сроки, с надлежащим качеством.</t>
  </si>
  <si>
    <t>4. Претензий по выполнению условий Договора Стороны друг к другу не имеют.</t>
  </si>
  <si>
    <t>Подписи Сторон:</t>
  </si>
  <si>
    <t xml:space="preserve">Исполнитель: Генеральный директор ________________________ Беднарский Д.Б.                </t>
  </si>
  <si>
    <t>Заказчик:</t>
  </si>
  <si>
    <t>Работы по содержанию помещений, входящх в состав общего имущества</t>
  </si>
  <si>
    <t>Обеспечение устранений аварий на внутридомовых иженерных системах в МКД, в том числе содержание АДС</t>
  </si>
  <si>
    <t>постоянно</t>
  </si>
  <si>
    <t>согласно санитарным нормам</t>
  </si>
  <si>
    <t>6 месяцев</t>
  </si>
  <si>
    <t>м2</t>
  </si>
  <si>
    <t>Работы по содержанию земельного участка, входящего в состав общего имущества многоквартирного дома</t>
  </si>
  <si>
    <t>III</t>
  </si>
  <si>
    <t>IV</t>
  </si>
  <si>
    <t>I</t>
  </si>
  <si>
    <t>Работы, необходимые для надлежащего содержания несущих конструкций МКД, в том числе подготовка к отопительному сезону и проведение технических осмотров</t>
  </si>
  <si>
    <t>Работы, необходимые для надлежащего содержания оборудования и систем инженерно-технического обеспечения, входящих в состав общего имущества</t>
  </si>
  <si>
    <t>II</t>
  </si>
  <si>
    <t xml:space="preserve">Работы, выполняемые в целях надлежащего содержания систем холодного водоснабжения, водоотведения, теплоснабжения (отопление, горячее водоснабжение) и вентиляции </t>
  </si>
  <si>
    <t>Выполнение работ по текущему ремонту, в том числе:</t>
  </si>
  <si>
    <t>г. Трехгорный                                                                                                                                                                                                             31 марта 2023 г.</t>
  </si>
  <si>
    <r>
      <t xml:space="preserve">многоквартирном доме № </t>
    </r>
    <r>
      <rPr>
        <b/>
        <sz val="12"/>
        <color indexed="8"/>
        <rFont val="Times New Roman"/>
        <family val="1"/>
        <charset val="204"/>
      </rPr>
      <t>12</t>
    </r>
    <r>
      <rPr>
        <sz val="12"/>
        <color indexed="8"/>
        <rFont val="Times New Roman"/>
        <family val="1"/>
        <charset val="204"/>
      </rPr>
      <t xml:space="preserve"> по улице</t>
    </r>
    <r>
      <rPr>
        <b/>
        <sz val="12"/>
        <color indexed="8"/>
        <rFont val="Times New Roman"/>
        <family val="1"/>
        <charset val="204"/>
      </rPr>
      <t xml:space="preserve"> Мира</t>
    </r>
  </si>
  <si>
    <t xml:space="preserve">    Собственники помещений в многоквартирном доме, расположенном по адресу: ул. Мира, дом № 12, именуемые  в дальнейшем « Заказчик»,</t>
  </si>
  <si>
    <t>в лице  председателя Совета дома Молчанова М.В., являющегося собственником квартиры № 19 с одной стороны, и ООО "ЖКС - Трехгорный",</t>
  </si>
  <si>
    <t>именуемый в дальнейшем « Исполнитель», в лице генерального директора Беднарского Д.Б.,  с другой стороны, совместно именуемые "Стороны",</t>
  </si>
  <si>
    <t>составили настоящий акт о нижеследующем:</t>
  </si>
  <si>
    <r>
      <t xml:space="preserve">выполненные работы по содержанию и текущему ремонту общего имущества в многоквартирном доме № </t>
    </r>
    <r>
      <rPr>
        <b/>
        <sz val="12"/>
        <color indexed="8"/>
        <rFont val="Times New Roman"/>
        <family val="1"/>
        <charset val="204"/>
      </rPr>
      <t>12</t>
    </r>
    <r>
      <rPr>
        <sz val="12"/>
        <color indexed="8"/>
        <rFont val="Times New Roman"/>
        <family val="1"/>
        <charset val="204"/>
      </rPr>
      <t xml:space="preserve">, расположенном по ул. </t>
    </r>
    <r>
      <rPr>
        <b/>
        <sz val="12"/>
        <color indexed="8"/>
        <rFont val="Times New Roman"/>
        <family val="1"/>
        <charset val="204"/>
      </rPr>
      <t xml:space="preserve">Мира </t>
    </r>
  </si>
  <si>
    <t>ремонт козырька 1 подъезда, включая стоимость проекта</t>
  </si>
  <si>
    <t>замена окон в подъездах №№ 2, 4</t>
  </si>
  <si>
    <t>окраска входной металлической двери 4 подъезда</t>
  </si>
  <si>
    <t>ремонт стен после монтажа окон 1, 2 и 4 подъездов</t>
  </si>
  <si>
    <t>ремонт фасада между 2 и 3 подъездами (окраска фасада, ремонт карниза, правка воронок)</t>
  </si>
  <si>
    <t>ремонт 4 подъезда</t>
  </si>
  <si>
    <t>ремонт крыльца 4 подъезда</t>
  </si>
  <si>
    <t>Работы выполняемые по содержанию и ремонту внутридомового газового оборудования</t>
  </si>
  <si>
    <t>Работы выполняемые по содержанию кровли в осенне-зимний период</t>
  </si>
  <si>
    <t>2. Всего за период с 01 января 2022 года по 31 декабря 2022 года выполнено работ (оказано услуг) на общую сумму 852 287.23 рубл.</t>
  </si>
  <si>
    <t>V</t>
  </si>
  <si>
    <t>Примечание:</t>
  </si>
  <si>
    <t>Работы по текущему ремонту выполнены выше плановых на сумму 288572.81 руб</t>
  </si>
  <si>
    <t>Настоящий акт составлен в 2-х экземплярах, имеющих одинаковую юридическую силу, по одному для каждой из сторон.</t>
  </si>
  <si>
    <t xml:space="preserve">Председатель Совета дома                  ___________________________ Молчанов М.В.     </t>
  </si>
  <si>
    <t>г. Трехгорный                                                                                                                                                                                                             21 февраля 2024 г.</t>
  </si>
  <si>
    <t>демонтаж сараек и вывоз мусора 60 922.00</t>
  </si>
  <si>
    <t>замена межтамбурной двери в 3 п. 52 992.00</t>
  </si>
  <si>
    <t xml:space="preserve">ремонт водосточной системы 22 092.00 </t>
  </si>
  <si>
    <t>сантехнические работы 42 891.00</t>
  </si>
  <si>
    <t>электромонтажные работы 7 537.00</t>
  </si>
  <si>
    <t>очистка(ремонт) карниза 13033.00</t>
  </si>
  <si>
    <t>ремонт цоколя 35 187.00</t>
  </si>
  <si>
    <t>2. Всего за период с 01 января 2023 года по 31 декабря 2023 года выполнено работ (оказано услуг) на общую сумму 568 165.54 рубл.</t>
  </si>
  <si>
    <r>
      <t>многоквартирном доме № {{</t>
    </r>
    <r>
      <rPr>
        <b/>
        <sz val="12"/>
        <color theme="1"/>
        <rFont val="Times New Roman"/>
        <family val="1"/>
        <charset val="204"/>
      </rPr>
      <t>house_number</t>
    </r>
    <r>
      <rPr>
        <sz val="12"/>
        <color theme="1"/>
        <rFont val="Times New Roman"/>
        <family val="1"/>
        <charset val="204"/>
      </rPr>
      <t>}}</t>
    </r>
    <r>
      <rPr>
        <sz val="12"/>
        <color indexed="8"/>
        <rFont val="Times New Roman"/>
        <family val="1"/>
        <charset val="204"/>
      </rPr>
      <t xml:space="preserve"> по улице</t>
    </r>
    <r>
      <rPr>
        <b/>
        <sz val="12"/>
        <color indexed="8"/>
        <rFont val="Times New Roman"/>
        <family val="1"/>
        <charset val="204"/>
      </rPr>
      <t xml:space="preserve"> {{street_name}}</t>
    </r>
  </si>
  <si>
    <t xml:space="preserve">         АКТ № {{act_num}}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</si>
</sst>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2" x14ac:knownFonts="1">
    <font>
      <sz val="11"/>
      <color theme="1"/>
      <name val="Calibri"/>
      <family val="2"/>
      <charset val="204"/>
      <scheme val="minor"/>
    </font>
    <font>
      <sz val="12"/>
      <color indexed="8"/>
      <name val="Times New Roman"/>
      <family val="1"/>
      <charset val="204"/>
    </font>
    <font>
      <b/>
      <sz val="12"/>
      <color indexed="8"/>
      <name val="Times New Roman"/>
      <family val="1"/>
      <charset val="204"/>
    </font>
    <font>
      <sz val="12"/>
      <name val="Times New Roman"/>
      <family val="1"/>
      <charset val="204"/>
    </font>
    <font>
      <b/>
      <sz val="9"/>
      <color indexed="81"/>
      <name val="Tahoma"/>
      <family val="2"/>
      <charset val="204"/>
    </font>
    <font>
      <sz val="11"/>
      <name val="Times New Roman"/>
      <family val="1"/>
      <charset val="204"/>
    </font>
    <font>
      <sz val="9"/>
      <color indexed="81"/>
      <name val="Tahoma"/>
      <charset val="1"/>
    </font>
    <font>
      <b/>
      <sz val="9"/>
      <color indexed="81"/>
      <name val="Tahoma"/>
      <charset val="1"/>
    </font>
    <font>
      <sz val="12"/>
      <color theme="1"/>
      <name val="Times New Roman"/>
      <family val="1"/>
      <charset val="204"/>
    </font>
    <font>
      <b/>
      <sz val="12"/>
      <color theme="1"/>
      <name val="Times New Roman"/>
      <family val="1"/>
      <charset val="204"/>
    </font>
    <font>
      <sz val="11"/>
      <color theme="1"/>
      <name val="Times New Roman"/>
      <family val="1"/>
      <charset val="204"/>
    </font>
    <font>
      <sz val="12"/>
      <color rgb="FFFF0000"/>
      <name val="Times New Roman"/>
      <family val="1"/>
      <charset val="204"/>
    </font>
  </fonts>
  <fills count="2">
    <fill>
      <patternFill patternType="none"/>
    </fill>
    <fill>
      <patternFill patternType="gray125"/>
    </fill>
  </fills>
  <borders count="11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52">
    <xf numFmtId="0" fontId="0" fillId="0" borderId="0" xfId="0"/>
    <xf numFmtId="0" fontId="8" fillId="0" borderId="0" xfId="0" applyFont="1" applyAlignment="1">
      <alignment horizontal="center"/>
    </xf>
    <xf numFmtId="0" fontId="9" fillId="0" borderId="0" xfId="0" applyFont="1" applyAlignment="1">
      <alignment horizontal="right" vertical="center"/>
    </xf>
    <xf numFmtId="0" fontId="8" fillId="0" borderId="0" xfId="0" applyFont="1"/>
    <xf numFmtId="0" fontId="8" fillId="0" borderId="1" xfId="0" applyFont="1" applyBorder="1" applyAlignment="1">
      <alignment horizontal="center" vertical="center" wrapText="1"/>
    </xf>
    <xf numFmtId="0" fontId="10" fillId="0" borderId="1" xfId="0" applyFont="1" applyBorder="1" applyAlignment="1">
      <alignment horizontal="center" vertical="center"/>
    </xf>
    <xf numFmtId="4" fontId="10" fillId="0" borderId="1" xfId="0" applyNumberFormat="1" applyFont="1" applyFill="1" applyBorder="1" applyAlignment="1">
      <alignment vertical="center"/>
    </xf>
    <xf numFmtId="0" fontId="8" fillId="0" borderId="0" xfId="0" applyFont="1" applyBorder="1" applyAlignment="1">
      <alignment horizontal="center" vertical="center"/>
    </xf>
    <xf numFmtId="0" fontId="11" fillId="0" borderId="0" xfId="0" applyFont="1" applyBorder="1" applyAlignment="1">
      <alignment vertical="center" wrapText="1"/>
    </xf>
    <xf numFmtId="0" fontId="10" fillId="0" borderId="0" xfId="0" applyFont="1" applyBorder="1" applyAlignment="1">
      <alignment horizontal="center" vertical="center"/>
    </xf>
    <xf numFmtId="4" fontId="8" fillId="0" borderId="0" xfId="0" applyNumberFormat="1" applyFont="1" applyBorder="1" applyAlignment="1">
      <alignment vertical="center"/>
    </xf>
    <xf numFmtId="4" fontId="8" fillId="0" borderId="0" xfId="0" applyNumberFormat="1" applyFont="1" applyFill="1" applyBorder="1" applyAlignment="1">
      <alignment vertical="center"/>
    </xf>
    <xf numFmtId="0" fontId="8" fillId="0" borderId="2" xfId="0" applyFont="1" applyBorder="1" applyAlignment="1">
      <alignment horizontal="center" vertical="center"/>
    </xf>
    <xf numFmtId="0" fontId="8" fillId="0" borderId="3" xfId="0" applyFont="1" applyBorder="1" applyAlignment="1">
      <alignment horizontal="center" vertical="center"/>
    </xf>
    <xf numFmtId="4" fontId="8" fillId="0" borderId="4" xfId="0" applyNumberFormat="1" applyFont="1" applyFill="1" applyBorder="1" applyAlignment="1">
      <alignment vertical="center"/>
    </xf>
    <xf numFmtId="4" fontId="8" fillId="0" borderId="5" xfId="0" applyNumberFormat="1" applyFont="1" applyFill="1" applyBorder="1" applyAlignment="1">
      <alignment vertical="center"/>
    </xf>
    <xf numFmtId="0" fontId="8" fillId="0" borderId="0" xfId="0" applyFont="1" applyAlignment="1">
      <alignment horizontal="left"/>
    </xf>
    <xf numFmtId="0" fontId="8" fillId="0" borderId="0" xfId="0" applyFont="1" applyAlignment="1">
      <alignment horizontal="left"/>
    </xf>
    <xf numFmtId="0" fontId="8" fillId="0" borderId="0" xfId="0" applyFont="1" applyAlignment="1">
      <alignment horizontal="center"/>
    </xf>
    <xf numFmtId="0" fontId="10" fillId="0" borderId="1" xfId="0" applyFont="1" applyFill="1" applyBorder="1" applyAlignment="1">
      <alignment vertical="center" wrapText="1"/>
    </xf>
    <xf numFmtId="0" fontId="10" fillId="0" borderId="1" xfId="0" applyFont="1" applyFill="1" applyBorder="1" applyAlignment="1">
      <alignment horizontal="center" vertical="center"/>
    </xf>
    <xf numFmtId="0" fontId="0" fillId="0" borderId="0" xfId="0" applyFill="1"/>
    <xf numFmtId="0" fontId="3" fillId="0" borderId="6" xfId="0" applyFont="1" applyFill="1" applyBorder="1" applyAlignment="1">
      <alignment vertical="center" wrapText="1"/>
    </xf>
    <xf numFmtId="0" fontId="8" fillId="0" borderId="6" xfId="0" applyFont="1" applyFill="1" applyBorder="1" applyAlignment="1">
      <alignment horizontal="center" vertical="center"/>
    </xf>
    <xf numFmtId="0" fontId="10" fillId="0" borderId="6" xfId="0" applyFont="1" applyFill="1" applyBorder="1" applyAlignment="1">
      <alignment horizontal="center" vertical="center"/>
    </xf>
    <xf numFmtId="4" fontId="8" fillId="0" borderId="6" xfId="0" applyNumberFormat="1" applyFont="1" applyFill="1" applyBorder="1" applyAlignment="1">
      <alignment vertical="center"/>
    </xf>
    <xf numFmtId="4" fontId="8" fillId="0" borderId="7" xfId="0" applyNumberFormat="1" applyFont="1" applyFill="1" applyBorder="1" applyAlignment="1">
      <alignment vertical="center"/>
    </xf>
    <xf numFmtId="0" fontId="3" fillId="0" borderId="2" xfId="0" applyFont="1" applyFill="1" applyBorder="1" applyAlignment="1">
      <alignment vertical="center" wrapText="1"/>
    </xf>
    <xf numFmtId="0" fontId="8" fillId="0" borderId="2" xfId="0" applyFont="1" applyFill="1" applyBorder="1" applyAlignment="1">
      <alignment horizontal="center" vertical="center"/>
    </xf>
    <xf numFmtId="0" fontId="10" fillId="0" borderId="2" xfId="0" applyFont="1" applyFill="1" applyBorder="1" applyAlignment="1">
      <alignment horizontal="center" vertical="center"/>
    </xf>
    <xf numFmtId="4" fontId="8" fillId="0" borderId="2" xfId="0" applyNumberFormat="1" applyFont="1" applyFill="1" applyBorder="1" applyAlignment="1">
      <alignment vertical="center"/>
    </xf>
    <xf numFmtId="0" fontId="3" fillId="0" borderId="3" xfId="0" applyFont="1" applyFill="1" applyBorder="1" applyAlignment="1">
      <alignment vertical="center" wrapText="1"/>
    </xf>
    <xf numFmtId="0" fontId="8" fillId="0" borderId="3" xfId="0" applyFont="1" applyFill="1" applyBorder="1" applyAlignment="1">
      <alignment horizontal="center" vertical="center"/>
    </xf>
    <xf numFmtId="0" fontId="10" fillId="0" borderId="3" xfId="0" applyFont="1" applyFill="1" applyBorder="1" applyAlignment="1">
      <alignment horizontal="center" vertical="center"/>
    </xf>
    <xf numFmtId="4" fontId="8" fillId="0" borderId="3" xfId="0" applyNumberFormat="1" applyFont="1" applyFill="1" applyBorder="1" applyAlignment="1">
      <alignment vertical="center"/>
    </xf>
    <xf numFmtId="0" fontId="5" fillId="0" borderId="1" xfId="0" applyFont="1" applyBorder="1" applyAlignment="1">
      <alignment horizontal="center" vertical="center"/>
    </xf>
    <xf numFmtId="0" fontId="5" fillId="0" borderId="1" xfId="0" applyFont="1" applyFill="1" applyBorder="1" applyAlignment="1">
      <alignment vertical="center" wrapText="1"/>
    </xf>
    <xf numFmtId="0" fontId="5" fillId="0" borderId="1" xfId="0" applyFont="1" applyFill="1" applyBorder="1" applyAlignment="1">
      <alignment horizontal="center" vertical="center" wrapText="1"/>
    </xf>
    <xf numFmtId="0" fontId="5" fillId="0" borderId="1" xfId="0" applyFont="1" applyFill="1" applyBorder="1" applyAlignment="1">
      <alignment horizontal="center" vertical="center"/>
    </xf>
    <xf numFmtId="4" fontId="5" fillId="0" borderId="1" xfId="0" applyNumberFormat="1" applyFont="1" applyFill="1" applyBorder="1" applyAlignment="1">
      <alignment vertical="center"/>
    </xf>
    <xf numFmtId="0" fontId="3" fillId="0" borderId="7" xfId="0" applyFont="1" applyBorder="1" applyAlignment="1">
      <alignment horizontal="center" vertical="center"/>
    </xf>
    <xf numFmtId="0" fontId="3" fillId="0" borderId="7" xfId="0" applyFont="1" applyFill="1" applyBorder="1" applyAlignment="1">
      <alignment vertical="center" wrapText="1"/>
    </xf>
    <xf numFmtId="0" fontId="3" fillId="0" borderId="7" xfId="0" applyFont="1" applyFill="1" applyBorder="1" applyAlignment="1">
      <alignment horizontal="center" vertical="center"/>
    </xf>
    <xf numFmtId="0" fontId="5" fillId="0" borderId="7" xfId="0" applyFont="1" applyFill="1" applyBorder="1" applyAlignment="1">
      <alignment horizontal="center" vertical="center"/>
    </xf>
    <xf numFmtId="4" fontId="3" fillId="0" borderId="7" xfId="0" applyNumberFormat="1" applyFont="1" applyFill="1" applyBorder="1" applyAlignment="1">
      <alignment vertical="center"/>
    </xf>
    <xf numFmtId="0" fontId="9" fillId="0" borderId="0" xfId="0" applyFont="1" applyAlignment="1">
      <alignment horizontal="left"/>
    </xf>
    <xf numFmtId="4" fontId="0" fillId="0" borderId="0" xfId="0" applyNumberFormat="1"/>
    <xf numFmtId="0" fontId="8" fillId="0" borderId="0" xfId="0" applyFont="1" applyAlignment="1">
      <alignment horizontal="left"/>
    </xf>
    <xf numFmtId="0" fontId="10" fillId="0" borderId="8" xfId="0" applyFont="1" applyFill="1" applyBorder="1" applyAlignment="1">
      <alignment horizontal="center" vertical="center"/>
    </xf>
    <xf numFmtId="0" fontId="10" fillId="0" borderId="9" xfId="0" applyFont="1" applyFill="1" applyBorder="1" applyAlignment="1">
      <alignment horizontal="center" vertical="center"/>
    </xf>
    <xf numFmtId="0" fontId="10" fillId="0" borderId="10" xfId="0" applyFont="1" applyFill="1" applyBorder="1" applyAlignment="1">
      <alignment horizontal="center" vertical="center"/>
    </xf>
    <xf numFmtId="0" fontId="8" fillId="0" borderId="0" xfId="0" applyFont="1" applyAlignment="1">
      <alignment horizontal="center"/>
    </xf>
  </cellXfs>
  <cellStyles count="1">
    <cellStyle name="Обычный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Стандартная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G53"/>
  <sheetViews>
    <sheetView topLeftCell="A10" workbookViewId="0">
      <selection activeCell="B22" sqref="B22"/>
    </sheetView>
  </sheetViews>
  <sheetFormatPr defaultRowHeight="15" x14ac:dyDescent="0.25"/>
  <cols>
    <col min="1" max="1" width="6.42578125" customWidth="1"/>
    <col min="2" max="2" width="64.7109375" customWidth="1"/>
    <col min="3" max="3" width="16.28515625" customWidth="1"/>
    <col min="4" max="4" width="15" customWidth="1"/>
    <col min="5" max="5" width="20.7109375" customWidth="1"/>
    <col min="6" max="6" width="22.7109375" customWidth="1"/>
  </cols>
  <sheetData>
    <row r="1" spans="1:7" ht="15.75" x14ac:dyDescent="0.25">
      <c r="A1" s="51" t="s">
        <v>0</v>
      </c>
      <c r="B1" s="51"/>
      <c r="C1" s="51"/>
      <c r="D1" s="51"/>
      <c r="E1" s="51"/>
      <c r="F1" s="51"/>
    </row>
    <row r="2" spans="1:7" ht="15.75" x14ac:dyDescent="0.25">
      <c r="A2" s="51" t="s">
        <v>1</v>
      </c>
      <c r="B2" s="51"/>
      <c r="C2" s="51"/>
      <c r="D2" s="51"/>
      <c r="E2" s="51"/>
      <c r="F2" s="51"/>
    </row>
    <row r="3" spans="1:7" ht="15.75" x14ac:dyDescent="0.25">
      <c r="A3" s="51" t="s">
        <v>30</v>
      </c>
      <c r="B3" s="51"/>
      <c r="C3" s="51"/>
      <c r="D3" s="51"/>
      <c r="E3" s="51"/>
      <c r="F3" s="51"/>
    </row>
    <row r="4" spans="1:7" ht="15.75" x14ac:dyDescent="0.25">
      <c r="A4" s="51" t="s">
        <v>29</v>
      </c>
      <c r="B4" s="51"/>
      <c r="C4" s="51"/>
      <c r="D4" s="51"/>
      <c r="E4" s="51"/>
      <c r="F4" s="51"/>
    </row>
    <row r="5" spans="1:7" ht="15.75" x14ac:dyDescent="0.25">
      <c r="A5" s="51" t="s">
        <v>31</v>
      </c>
      <c r="B5" s="51"/>
      <c r="C5" s="51"/>
      <c r="D5" s="51"/>
      <c r="E5" s="51"/>
      <c r="F5" s="51"/>
    </row>
    <row r="6" spans="1:7" ht="15.75" x14ac:dyDescent="0.25">
      <c r="A6" s="47" t="s">
        <v>32</v>
      </c>
      <c r="B6" s="47"/>
      <c r="C6" s="47"/>
      <c r="D6" s="47"/>
      <c r="E6" s="47"/>
      <c r="F6" s="47"/>
    </row>
    <row r="7" spans="1:7" ht="15.75" x14ac:dyDescent="0.25">
      <c r="A7" s="47" t="s">
        <v>33</v>
      </c>
      <c r="B7" s="47"/>
      <c r="C7" s="47"/>
      <c r="D7" s="47"/>
      <c r="E7" s="47"/>
      <c r="F7" s="47"/>
    </row>
    <row r="8" spans="1:7" ht="15.75" x14ac:dyDescent="0.25">
      <c r="A8" s="47" t="s">
        <v>34</v>
      </c>
      <c r="B8" s="47"/>
      <c r="C8" s="47"/>
      <c r="D8" s="47"/>
      <c r="E8" s="47"/>
      <c r="F8" s="47"/>
    </row>
    <row r="9" spans="1:7" ht="15.75" x14ac:dyDescent="0.25">
      <c r="A9" s="51" t="s">
        <v>2</v>
      </c>
      <c r="B9" s="51"/>
      <c r="C9" s="51"/>
      <c r="D9" s="51"/>
      <c r="E9" s="51"/>
      <c r="F9" s="51"/>
    </row>
    <row r="10" spans="1:7" ht="15.75" x14ac:dyDescent="0.25">
      <c r="A10" s="51" t="s">
        <v>35</v>
      </c>
      <c r="B10" s="51"/>
      <c r="C10" s="51"/>
      <c r="D10" s="51"/>
      <c r="E10" s="51"/>
      <c r="F10" s="51"/>
    </row>
    <row r="11" spans="1:7" ht="15.75" x14ac:dyDescent="0.25">
      <c r="A11" s="1"/>
      <c r="B11" s="1"/>
      <c r="C11" s="1"/>
      <c r="D11" s="1"/>
      <c r="E11" s="1"/>
      <c r="F11" s="2">
        <v>3248.7</v>
      </c>
    </row>
    <row r="12" spans="1:7" ht="47.25" x14ac:dyDescent="0.25">
      <c r="A12" s="4" t="s">
        <v>3</v>
      </c>
      <c r="B12" s="4" t="s">
        <v>4</v>
      </c>
      <c r="C12" s="4" t="s">
        <v>5</v>
      </c>
      <c r="D12" s="4" t="s">
        <v>6</v>
      </c>
      <c r="E12" s="4" t="s">
        <v>7</v>
      </c>
      <c r="F12" s="4" t="s">
        <v>8</v>
      </c>
    </row>
    <row r="13" spans="1:7" ht="45" x14ac:dyDescent="0.25">
      <c r="A13" s="5" t="s">
        <v>23</v>
      </c>
      <c r="B13" s="19" t="s">
        <v>24</v>
      </c>
      <c r="C13" s="20" t="s">
        <v>16</v>
      </c>
      <c r="D13" s="20" t="s">
        <v>19</v>
      </c>
      <c r="E13" s="6">
        <v>1.98</v>
      </c>
      <c r="F13" s="6">
        <f>F11*E13*12</f>
        <v>77189.111999999994</v>
      </c>
      <c r="G13" s="21"/>
    </row>
    <row r="14" spans="1:7" ht="45" x14ac:dyDescent="0.25">
      <c r="A14" s="5" t="s">
        <v>26</v>
      </c>
      <c r="B14" s="19" t="s">
        <v>25</v>
      </c>
      <c r="C14" s="48"/>
      <c r="D14" s="49"/>
      <c r="E14" s="49"/>
      <c r="F14" s="50"/>
      <c r="G14" s="21"/>
    </row>
    <row r="15" spans="1:7" ht="45" x14ac:dyDescent="0.25">
      <c r="A15" s="5">
        <v>2.1</v>
      </c>
      <c r="B15" s="19" t="s">
        <v>27</v>
      </c>
      <c r="C15" s="20" t="s">
        <v>16</v>
      </c>
      <c r="D15" s="20" t="s">
        <v>19</v>
      </c>
      <c r="E15" s="6">
        <v>1.9</v>
      </c>
      <c r="F15" s="6">
        <f>E15*F11*12</f>
        <v>74070.36</v>
      </c>
      <c r="G15" s="21"/>
    </row>
    <row r="16" spans="1:7" ht="30" x14ac:dyDescent="0.25">
      <c r="A16" s="5">
        <v>2.2000000000000002</v>
      </c>
      <c r="B16" s="19" t="s">
        <v>15</v>
      </c>
      <c r="C16" s="20" t="s">
        <v>16</v>
      </c>
      <c r="D16" s="20" t="s">
        <v>19</v>
      </c>
      <c r="E16" s="6">
        <v>1.85</v>
      </c>
      <c r="F16" s="6">
        <f>E16*F11*12</f>
        <v>72121.14</v>
      </c>
      <c r="G16" s="21"/>
    </row>
    <row r="17" spans="1:7" ht="30" x14ac:dyDescent="0.25">
      <c r="A17" s="5">
        <v>2.2999999999999998</v>
      </c>
      <c r="B17" s="19" t="s">
        <v>43</v>
      </c>
      <c r="C17" s="20" t="s">
        <v>16</v>
      </c>
      <c r="D17" s="20" t="s">
        <v>19</v>
      </c>
      <c r="E17" s="6">
        <v>0.69</v>
      </c>
      <c r="F17" s="6">
        <f>F11*E17*12</f>
        <v>26899.235999999997</v>
      </c>
      <c r="G17" s="21"/>
    </row>
    <row r="18" spans="1:7" ht="27.75" customHeight="1" x14ac:dyDescent="0.25">
      <c r="A18" s="5">
        <v>2.4</v>
      </c>
      <c r="B18" s="19" t="s">
        <v>44</v>
      </c>
      <c r="C18" s="20" t="s">
        <v>18</v>
      </c>
      <c r="D18" s="20" t="s">
        <v>19</v>
      </c>
      <c r="E18" s="6">
        <v>1.62</v>
      </c>
      <c r="F18" s="6">
        <f>E18*F11*6</f>
        <v>31577.364000000001</v>
      </c>
      <c r="G18" s="21"/>
    </row>
    <row r="19" spans="1:7" ht="43.5" customHeight="1" x14ac:dyDescent="0.25">
      <c r="A19" s="35" t="s">
        <v>21</v>
      </c>
      <c r="B19" s="36" t="s">
        <v>14</v>
      </c>
      <c r="C19" s="37" t="s">
        <v>17</v>
      </c>
      <c r="D19" s="38" t="s">
        <v>19</v>
      </c>
      <c r="E19" s="39">
        <v>1.89</v>
      </c>
      <c r="F19" s="39">
        <f>F11*E19*12</f>
        <v>73680.516000000003</v>
      </c>
      <c r="G19" s="21"/>
    </row>
    <row r="20" spans="1:7" ht="31.5" x14ac:dyDescent="0.25">
      <c r="A20" s="40" t="s">
        <v>22</v>
      </c>
      <c r="B20" s="41" t="s">
        <v>20</v>
      </c>
      <c r="C20" s="42" t="s">
        <v>18</v>
      </c>
      <c r="D20" s="43" t="s">
        <v>19</v>
      </c>
      <c r="E20" s="44">
        <v>0.21</v>
      </c>
      <c r="F20" s="44">
        <v>4240.72</v>
      </c>
      <c r="G20" s="21"/>
    </row>
    <row r="21" spans="1:7" ht="15.75" x14ac:dyDescent="0.25">
      <c r="A21" s="23" t="s">
        <v>46</v>
      </c>
      <c r="B21" s="22" t="s">
        <v>28</v>
      </c>
      <c r="C21" s="23" t="s">
        <v>16</v>
      </c>
      <c r="D21" s="24" t="s">
        <v>19</v>
      </c>
      <c r="E21" s="25">
        <v>12.634</v>
      </c>
      <c r="F21" s="26">
        <v>492508.58</v>
      </c>
      <c r="G21" s="21"/>
    </row>
    <row r="22" spans="1:7" ht="15.75" x14ac:dyDescent="0.25">
      <c r="A22" s="12"/>
      <c r="B22" s="27" t="s">
        <v>39</v>
      </c>
      <c r="C22" s="28"/>
      <c r="D22" s="29"/>
      <c r="E22" s="30"/>
      <c r="F22" s="14"/>
      <c r="G22" s="21"/>
    </row>
    <row r="23" spans="1:7" ht="15.75" x14ac:dyDescent="0.25">
      <c r="A23" s="12"/>
      <c r="B23" s="27" t="s">
        <v>36</v>
      </c>
      <c r="C23" s="28"/>
      <c r="D23" s="29"/>
      <c r="E23" s="30"/>
      <c r="F23" s="14"/>
      <c r="G23" s="21"/>
    </row>
    <row r="24" spans="1:7" ht="15.75" x14ac:dyDescent="0.25">
      <c r="A24" s="12"/>
      <c r="B24" s="27" t="s">
        <v>41</v>
      </c>
      <c r="C24" s="28"/>
      <c r="D24" s="29"/>
      <c r="E24" s="30"/>
      <c r="F24" s="14"/>
      <c r="G24" s="21"/>
    </row>
    <row r="25" spans="1:7" ht="15.75" x14ac:dyDescent="0.25">
      <c r="A25" s="12"/>
      <c r="B25" s="27" t="s">
        <v>37</v>
      </c>
      <c r="C25" s="28"/>
      <c r="D25" s="29"/>
      <c r="E25" s="30"/>
      <c r="F25" s="14"/>
      <c r="G25" s="21"/>
    </row>
    <row r="26" spans="1:7" ht="15.75" x14ac:dyDescent="0.25">
      <c r="A26" s="12"/>
      <c r="B26" s="27" t="s">
        <v>38</v>
      </c>
      <c r="C26" s="28"/>
      <c r="D26" s="29"/>
      <c r="E26" s="30"/>
      <c r="F26" s="14"/>
      <c r="G26" s="21"/>
    </row>
    <row r="27" spans="1:7" ht="15.75" x14ac:dyDescent="0.25">
      <c r="A27" s="12"/>
      <c r="B27" s="27" t="s">
        <v>42</v>
      </c>
      <c r="C27" s="28"/>
      <c r="D27" s="29"/>
      <c r="E27" s="30"/>
      <c r="F27" s="14"/>
      <c r="G27" s="21"/>
    </row>
    <row r="28" spans="1:7" ht="31.5" x14ac:dyDescent="0.25">
      <c r="A28" s="13"/>
      <c r="B28" s="31" t="s">
        <v>40</v>
      </c>
      <c r="C28" s="32"/>
      <c r="D28" s="33"/>
      <c r="E28" s="34"/>
      <c r="F28" s="15"/>
      <c r="G28" s="21"/>
    </row>
    <row r="29" spans="1:7" ht="15.75" x14ac:dyDescent="0.25">
      <c r="A29" s="7"/>
      <c r="B29" s="8"/>
      <c r="C29" s="7"/>
      <c r="D29" s="9"/>
      <c r="E29" s="10"/>
      <c r="F29" s="11"/>
    </row>
    <row r="30" spans="1:7" ht="15.75" x14ac:dyDescent="0.25">
      <c r="A30" s="3"/>
      <c r="B30" s="3"/>
      <c r="C30" s="3"/>
      <c r="D30" s="3"/>
      <c r="E30" s="3"/>
      <c r="F30" s="3"/>
    </row>
    <row r="31" spans="1:7" ht="15.75" x14ac:dyDescent="0.25">
      <c r="A31" s="47" t="s">
        <v>45</v>
      </c>
      <c r="B31" s="47"/>
      <c r="C31" s="47"/>
      <c r="D31" s="47"/>
      <c r="E31" s="47"/>
      <c r="F31" s="47"/>
    </row>
    <row r="32" spans="1:7" ht="15.75" x14ac:dyDescent="0.25">
      <c r="A32" s="47"/>
      <c r="B32" s="47"/>
      <c r="C32" s="47"/>
      <c r="D32" s="47"/>
      <c r="E32" s="47"/>
      <c r="F32" s="47"/>
    </row>
    <row r="33" spans="1:6" ht="15.75" x14ac:dyDescent="0.25">
      <c r="A33" s="47" t="s">
        <v>9</v>
      </c>
      <c r="B33" s="47"/>
      <c r="C33" s="47"/>
      <c r="D33" s="47"/>
      <c r="E33" s="47"/>
      <c r="F33" s="47"/>
    </row>
    <row r="34" spans="1:6" ht="15.75" x14ac:dyDescent="0.25">
      <c r="A34" s="47"/>
      <c r="B34" s="47"/>
      <c r="C34" s="47"/>
      <c r="D34" s="47"/>
      <c r="E34" s="47"/>
      <c r="F34" s="47"/>
    </row>
    <row r="35" spans="1:6" ht="15.75" x14ac:dyDescent="0.25">
      <c r="A35" s="47" t="s">
        <v>10</v>
      </c>
      <c r="B35" s="47"/>
      <c r="C35" s="47"/>
      <c r="D35" s="47"/>
      <c r="E35" s="47"/>
      <c r="F35" s="47"/>
    </row>
    <row r="36" spans="1:6" ht="15.75" x14ac:dyDescent="0.25">
      <c r="A36" s="3"/>
      <c r="B36" s="3"/>
      <c r="C36" s="3"/>
      <c r="D36" s="3"/>
      <c r="E36" s="3"/>
      <c r="F36" s="3"/>
    </row>
    <row r="37" spans="1:6" ht="15.75" x14ac:dyDescent="0.25">
      <c r="A37" s="47" t="s">
        <v>49</v>
      </c>
      <c r="B37" s="47"/>
      <c r="C37" s="47"/>
      <c r="D37" s="47"/>
      <c r="E37" s="47"/>
      <c r="F37" s="47"/>
    </row>
    <row r="38" spans="1:6" ht="15.75" x14ac:dyDescent="0.25">
      <c r="A38" s="16"/>
      <c r="B38" s="16"/>
      <c r="C38" s="16"/>
      <c r="D38" s="16"/>
      <c r="E38" s="16"/>
      <c r="F38" s="16"/>
    </row>
    <row r="39" spans="1:6" ht="15.75" x14ac:dyDescent="0.25">
      <c r="A39" s="45" t="s">
        <v>47</v>
      </c>
      <c r="B39" s="16"/>
      <c r="C39" s="16"/>
      <c r="D39" s="16"/>
      <c r="E39" s="16"/>
      <c r="F39" s="16"/>
    </row>
    <row r="40" spans="1:6" ht="15.75" x14ac:dyDescent="0.25">
      <c r="A40" s="45"/>
      <c r="B40" s="16"/>
      <c r="C40" s="16"/>
      <c r="D40" s="16"/>
      <c r="E40" s="16"/>
      <c r="F40" s="16"/>
    </row>
    <row r="41" spans="1:6" ht="15.75" x14ac:dyDescent="0.25">
      <c r="A41" s="45" t="s">
        <v>48</v>
      </c>
      <c r="B41" s="16"/>
      <c r="C41" s="16"/>
      <c r="D41" s="16"/>
      <c r="E41" s="16"/>
      <c r="F41" s="16"/>
    </row>
    <row r="42" spans="1:6" ht="15.75" x14ac:dyDescent="0.25">
      <c r="A42" s="3"/>
      <c r="B42" s="3"/>
      <c r="C42" s="3"/>
      <c r="D42" s="3"/>
      <c r="E42" s="3"/>
      <c r="F42" s="3"/>
    </row>
    <row r="43" spans="1:6" ht="24" customHeight="1" x14ac:dyDescent="0.25">
      <c r="A43" s="47" t="s">
        <v>11</v>
      </c>
      <c r="B43" s="47"/>
      <c r="C43" s="47"/>
      <c r="D43" s="47"/>
      <c r="E43" s="47"/>
      <c r="F43" s="47"/>
    </row>
    <row r="44" spans="1:6" ht="15.75" x14ac:dyDescent="0.25">
      <c r="A44" s="3"/>
      <c r="B44" s="3"/>
      <c r="C44" s="3"/>
      <c r="D44" s="3"/>
      <c r="E44" s="3"/>
      <c r="F44" s="3"/>
    </row>
    <row r="45" spans="1:6" ht="15.75" x14ac:dyDescent="0.25">
      <c r="A45" s="47" t="s">
        <v>12</v>
      </c>
      <c r="B45" s="47"/>
      <c r="C45" s="47"/>
      <c r="D45" s="47"/>
      <c r="E45" s="47"/>
      <c r="F45" s="47"/>
    </row>
    <row r="46" spans="1:6" ht="15.75" x14ac:dyDescent="0.25">
      <c r="A46" s="3"/>
      <c r="B46" s="3"/>
      <c r="C46" s="3"/>
      <c r="D46" s="3"/>
      <c r="E46" s="3"/>
      <c r="F46" s="3"/>
    </row>
    <row r="47" spans="1:6" ht="21.75" customHeight="1" x14ac:dyDescent="0.25">
      <c r="A47" s="47" t="s">
        <v>13</v>
      </c>
      <c r="B47" s="47"/>
      <c r="C47" s="47"/>
      <c r="D47" s="47"/>
      <c r="E47" s="47"/>
      <c r="F47" s="47"/>
    </row>
    <row r="48" spans="1:6" ht="24.75" customHeight="1" x14ac:dyDescent="0.25">
      <c r="A48" s="47" t="s">
        <v>50</v>
      </c>
      <c r="B48" s="47"/>
      <c r="C48" s="47"/>
      <c r="D48" s="47"/>
      <c r="E48" s="47"/>
      <c r="F48" s="47"/>
    </row>
    <row r="49" spans="1:6" ht="15.75" x14ac:dyDescent="0.25">
      <c r="A49" s="3"/>
      <c r="B49" s="3"/>
      <c r="C49" s="3"/>
      <c r="D49" s="3"/>
      <c r="E49" s="3"/>
      <c r="F49" s="3"/>
    </row>
    <row r="50" spans="1:6" ht="15.75" x14ac:dyDescent="0.25">
      <c r="A50" s="3"/>
      <c r="B50" s="3"/>
      <c r="C50" s="3"/>
      <c r="D50" s="3"/>
      <c r="E50" s="3"/>
      <c r="F50" s="3"/>
    </row>
    <row r="51" spans="1:6" ht="15.75" x14ac:dyDescent="0.25">
      <c r="A51" s="3"/>
      <c r="B51" s="3"/>
      <c r="C51" s="3"/>
      <c r="D51" s="3"/>
      <c r="E51" s="3"/>
      <c r="F51" s="3"/>
    </row>
    <row r="52" spans="1:6" ht="15.75" x14ac:dyDescent="0.25">
      <c r="A52" s="3"/>
      <c r="B52" s="3"/>
      <c r="C52" s="3"/>
      <c r="D52" s="3"/>
      <c r="E52" s="3"/>
      <c r="F52" s="3"/>
    </row>
    <row r="53" spans="1:6" ht="15.75" x14ac:dyDescent="0.25">
      <c r="A53" s="3"/>
      <c r="B53" s="3"/>
      <c r="C53" s="3"/>
      <c r="D53" s="3"/>
      <c r="E53" s="3"/>
      <c r="F53" s="3"/>
    </row>
  </sheetData>
  <mergeCells count="21">
    <mergeCell ref="A1:F1"/>
    <mergeCell ref="A2:F2"/>
    <mergeCell ref="A3:F3"/>
    <mergeCell ref="A4:F4"/>
    <mergeCell ref="A5:F5"/>
    <mergeCell ref="A9:F9"/>
    <mergeCell ref="A10:F10"/>
    <mergeCell ref="A6:F6"/>
    <mergeCell ref="A33:F33"/>
    <mergeCell ref="A7:F7"/>
    <mergeCell ref="A8:F8"/>
    <mergeCell ref="A47:F47"/>
    <mergeCell ref="A48:F48"/>
    <mergeCell ref="C14:F14"/>
    <mergeCell ref="A43:F43"/>
    <mergeCell ref="A45:F45"/>
    <mergeCell ref="A31:F31"/>
    <mergeCell ref="A32:F32"/>
    <mergeCell ref="A34:F34"/>
    <mergeCell ref="A35:F35"/>
    <mergeCell ref="A37:F37"/>
  </mergeCells>
  <pageMargins left="0.62992125984251968" right="0.23622047244094491" top="0.74803149606299213" bottom="0.74803149606299213" header="0.31496062992125984" footer="0.31496062992125984"/>
  <pageSetup paperSize="9" scale="64" orientation="portrait" r:id="rId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pageSetUpPr fitToPage="1"/>
  </sheetPr>
  <dimension ref="A1:H55"/>
  <sheetViews>
    <sheetView tabSelected="1" workbookViewId="0">
      <selection activeCell="A3" sqref="A3:F3"/>
    </sheetView>
  </sheetViews>
  <sheetFormatPr defaultRowHeight="15" x14ac:dyDescent="0.25"/>
  <cols>
    <col min="1" max="1" width="6.42578125" customWidth="1"/>
    <col min="2" max="2" width="64.7109375" customWidth="1"/>
    <col min="3" max="3" width="16.28515625" customWidth="1"/>
    <col min="4" max="4" width="15" customWidth="1"/>
    <col min="5" max="5" width="20.7109375" customWidth="1"/>
    <col min="6" max="6" width="22.7109375" customWidth="1"/>
  </cols>
  <sheetData>
    <row r="1" spans="1:8" ht="15.75" x14ac:dyDescent="0.25">
      <c r="A1" s="51" t="s">
        <v>61</v>
      </c>
      <c r="B1" s="51"/>
      <c r="C1" s="51"/>
      <c r="D1" s="51"/>
      <c r="E1" s="51"/>
      <c r="F1" s="51"/>
    </row>
    <row r="2" spans="1:8" ht="15.75" x14ac:dyDescent="0.25">
      <c r="A2" s="51" t="s">
        <v>1</v>
      </c>
      <c r="B2" s="51"/>
      <c r="C2" s="51"/>
      <c r="D2" s="51"/>
      <c r="E2" s="51"/>
      <c r="F2" s="51"/>
    </row>
    <row r="3" spans="1:8" ht="15.75" x14ac:dyDescent="0.25">
      <c r="A3" s="51" t="s">
        <v>60</v>
      </c>
      <c r="B3" s="51"/>
      <c r="C3" s="51"/>
      <c r="D3" s="51"/>
      <c r="E3" s="51"/>
      <c r="F3" s="51"/>
    </row>
    <row r="4" spans="1:8" ht="15.75" x14ac:dyDescent="0.25">
      <c r="A4" s="51" t="s">
        <v>51</v>
      </c>
      <c r="B4" s="51"/>
      <c r="C4" s="51"/>
      <c r="D4" s="51"/>
      <c r="E4" s="51"/>
      <c r="F4" s="51"/>
    </row>
    <row r="5" spans="1:8" ht="15.75" x14ac:dyDescent="0.25">
      <c r="A5" s="51" t="s">
        <v>31</v>
      </c>
      <c r="B5" s="51"/>
      <c r="C5" s="51"/>
      <c r="D5" s="51"/>
      <c r="E5" s="51"/>
      <c r="F5" s="51"/>
    </row>
    <row r="6" spans="1:8" ht="15.75" x14ac:dyDescent="0.25">
      <c r="A6" s="47" t="s">
        <v>32</v>
      </c>
      <c r="B6" s="47"/>
      <c r="C6" s="47"/>
      <c r="D6" s="47"/>
      <c r="E6" s="47"/>
      <c r="F6" s="47"/>
    </row>
    <row r="7" spans="1:8" ht="15.75" x14ac:dyDescent="0.25">
      <c r="A7" s="47" t="s">
        <v>33</v>
      </c>
      <c r="B7" s="47"/>
      <c r="C7" s="47"/>
      <c r="D7" s="47"/>
      <c r="E7" s="47"/>
      <c r="F7" s="47"/>
    </row>
    <row r="8" spans="1:8" ht="15.75" x14ac:dyDescent="0.25">
      <c r="A8" s="47" t="s">
        <v>34</v>
      </c>
      <c r="B8" s="47"/>
      <c r="C8" s="47"/>
      <c r="D8" s="47"/>
      <c r="E8" s="47"/>
      <c r="F8" s="47"/>
    </row>
    <row r="9" spans="1:8" ht="15.75" x14ac:dyDescent="0.25">
      <c r="A9" s="51" t="s">
        <v>2</v>
      </c>
      <c r="B9" s="51"/>
      <c r="C9" s="51"/>
      <c r="D9" s="51"/>
      <c r="E9" s="51"/>
      <c r="F9" s="51"/>
    </row>
    <row r="10" spans="1:8" ht="15.75" x14ac:dyDescent="0.25">
      <c r="A10" s="51" t="s">
        <v>35</v>
      </c>
      <c r="B10" s="51"/>
      <c r="C10" s="51"/>
      <c r="D10" s="51"/>
      <c r="E10" s="51"/>
      <c r="F10" s="51"/>
    </row>
    <row r="11" spans="1:8" ht="15.75" x14ac:dyDescent="0.25">
      <c r="A11" s="18"/>
      <c r="B11" s="18"/>
      <c r="C11" s="18"/>
      <c r="D11" s="18"/>
      <c r="E11" s="18"/>
      <c r="F11" s="2">
        <v>3248.7</v>
      </c>
    </row>
    <row r="12" spans="1:8" ht="47.25" x14ac:dyDescent="0.25">
      <c r="A12" s="4" t="s">
        <v>3</v>
      </c>
      <c r="B12" s="4" t="s">
        <v>4</v>
      </c>
      <c r="C12" s="4" t="s">
        <v>5</v>
      </c>
      <c r="D12" s="4" t="s">
        <v>6</v>
      </c>
      <c r="E12" s="4" t="s">
        <v>7</v>
      </c>
      <c r="F12" s="4" t="s">
        <v>8</v>
      </c>
    </row>
    <row r="13" spans="1:8" ht="45" x14ac:dyDescent="0.25">
      <c r="A13" s="5" t="s">
        <v>23</v>
      </c>
      <c r="B13" s="19" t="s">
        <v>24</v>
      </c>
      <c r="C13" s="20" t="s">
        <v>16</v>
      </c>
      <c r="D13" s="20" t="s">
        <v>19</v>
      </c>
      <c r="E13" s="6">
        <v>1.37</v>
      </c>
      <c r="F13" s="6">
        <f>F11*E13*12</f>
        <v>53408.627999999997</v>
      </c>
      <c r="G13" s="21"/>
    </row>
    <row r="14" spans="1:8" ht="45" x14ac:dyDescent="0.25">
      <c r="A14" s="5" t="s">
        <v>26</v>
      </c>
      <c r="B14" s="19" t="s">
        <v>25</v>
      </c>
      <c r="C14" s="48"/>
      <c r="D14" s="49"/>
      <c r="E14" s="49"/>
      <c r="F14" s="50"/>
      <c r="G14" s="21"/>
      <c r="H14" s="46"/>
    </row>
    <row r="15" spans="1:8" ht="45" x14ac:dyDescent="0.25">
      <c r="A15" s="5">
        <v>2.1</v>
      </c>
      <c r="B15" s="19" t="s">
        <v>27</v>
      </c>
      <c r="C15" s="20" t="s">
        <v>16</v>
      </c>
      <c r="D15" s="20" t="s">
        <v>19</v>
      </c>
      <c r="E15" s="6">
        <v>1.9</v>
      </c>
      <c r="F15" s="6">
        <f>E15*F11*12</f>
        <v>74070.36</v>
      </c>
      <c r="G15" s="21"/>
    </row>
    <row r="16" spans="1:8" ht="30" x14ac:dyDescent="0.25">
      <c r="A16" s="5">
        <v>2.2000000000000002</v>
      </c>
      <c r="B16" s="19" t="s">
        <v>15</v>
      </c>
      <c r="C16" s="20" t="s">
        <v>16</v>
      </c>
      <c r="D16" s="20" t="s">
        <v>19</v>
      </c>
      <c r="E16" s="6">
        <v>1.85</v>
      </c>
      <c r="F16" s="6">
        <f>E16*F11*12</f>
        <v>72121.14</v>
      </c>
      <c r="G16" s="21"/>
    </row>
    <row r="17" spans="1:7" ht="30" x14ac:dyDescent="0.25">
      <c r="A17" s="5">
        <v>2.2999999999999998</v>
      </c>
      <c r="B17" s="19" t="s">
        <v>43</v>
      </c>
      <c r="C17" s="20" t="s">
        <v>16</v>
      </c>
      <c r="D17" s="20" t="s">
        <v>19</v>
      </c>
      <c r="E17" s="6">
        <v>0.73</v>
      </c>
      <c r="F17" s="6">
        <f>F11*E17*12</f>
        <v>28458.612000000001</v>
      </c>
      <c r="G17" s="21"/>
    </row>
    <row r="18" spans="1:7" ht="27.75" customHeight="1" x14ac:dyDescent="0.25">
      <c r="A18" s="5">
        <v>2.4</v>
      </c>
      <c r="B18" s="19" t="s">
        <v>44</v>
      </c>
      <c r="C18" s="20" t="s">
        <v>18</v>
      </c>
      <c r="D18" s="20" t="s">
        <v>19</v>
      </c>
      <c r="E18" s="6">
        <v>0.95</v>
      </c>
      <c r="F18" s="6">
        <f>E18*F11*6</f>
        <v>18517.59</v>
      </c>
      <c r="G18" s="21"/>
    </row>
    <row r="19" spans="1:7" ht="43.5" customHeight="1" x14ac:dyDescent="0.25">
      <c r="A19" s="35" t="s">
        <v>21</v>
      </c>
      <c r="B19" s="36" t="s">
        <v>14</v>
      </c>
      <c r="C19" s="37" t="s">
        <v>17</v>
      </c>
      <c r="D19" s="38" t="s">
        <v>19</v>
      </c>
      <c r="E19" s="39">
        <v>1.73</v>
      </c>
      <c r="F19" s="39">
        <f>F11*E19*12</f>
        <v>67443.011999999988</v>
      </c>
      <c r="G19" s="21"/>
    </row>
    <row r="20" spans="1:7" ht="31.5" x14ac:dyDescent="0.25">
      <c r="A20" s="40" t="s">
        <v>22</v>
      </c>
      <c r="B20" s="41" t="s">
        <v>20</v>
      </c>
      <c r="C20" s="23" t="s">
        <v>16</v>
      </c>
      <c r="D20" s="43" t="s">
        <v>19</v>
      </c>
      <c r="E20" s="44">
        <v>0.5</v>
      </c>
      <c r="F20" s="39">
        <f>F11*E20*12</f>
        <v>19492.199999999997</v>
      </c>
      <c r="G20" s="21"/>
    </row>
    <row r="21" spans="1:7" ht="15.75" x14ac:dyDescent="0.25">
      <c r="A21" s="23" t="s">
        <v>46</v>
      </c>
      <c r="B21" s="22" t="s">
        <v>28</v>
      </c>
      <c r="C21" s="23" t="s">
        <v>16</v>
      </c>
      <c r="D21" s="24" t="s">
        <v>19</v>
      </c>
      <c r="E21" s="25">
        <v>6.02</v>
      </c>
      <c r="F21" s="26">
        <v>234654</v>
      </c>
      <c r="G21" s="21"/>
    </row>
    <row r="22" spans="1:7" ht="15.75" x14ac:dyDescent="0.25">
      <c r="A22" s="12"/>
      <c r="B22" s="27" t="s">
        <v>52</v>
      </c>
      <c r="C22" s="28"/>
      <c r="D22" s="29"/>
      <c r="E22" s="30"/>
      <c r="F22" s="14"/>
      <c r="G22" s="21"/>
    </row>
    <row r="23" spans="1:7" ht="15.75" x14ac:dyDescent="0.25">
      <c r="A23" s="12"/>
      <c r="B23" s="27" t="s">
        <v>56</v>
      </c>
      <c r="C23" s="28"/>
      <c r="D23" s="29"/>
      <c r="E23" s="30"/>
      <c r="F23" s="14"/>
      <c r="G23" s="21"/>
    </row>
    <row r="24" spans="1:7" ht="15.75" x14ac:dyDescent="0.25">
      <c r="A24" s="12"/>
      <c r="B24" s="27" t="s">
        <v>57</v>
      </c>
      <c r="C24" s="28"/>
      <c r="D24" s="29"/>
      <c r="E24" s="30"/>
      <c r="F24" s="14"/>
      <c r="G24" s="21"/>
    </row>
    <row r="25" spans="1:7" ht="15.75" x14ac:dyDescent="0.25">
      <c r="A25" s="12"/>
      <c r="B25" s="27" t="s">
        <v>58</v>
      </c>
      <c r="C25" s="28"/>
      <c r="D25" s="29"/>
      <c r="E25" s="30"/>
      <c r="F25" s="14"/>
      <c r="G25" s="21"/>
    </row>
    <row r="26" spans="1:7" ht="15.75" x14ac:dyDescent="0.25">
      <c r="A26" s="12"/>
      <c r="B26" s="27" t="s">
        <v>54</v>
      </c>
      <c r="C26" s="28"/>
      <c r="D26" s="29"/>
      <c r="E26" s="30"/>
      <c r="F26" s="14"/>
      <c r="G26" s="21"/>
    </row>
    <row r="27" spans="1:7" ht="15.75" x14ac:dyDescent="0.25">
      <c r="A27" s="12"/>
      <c r="B27" s="27" t="s">
        <v>55</v>
      </c>
      <c r="C27" s="28"/>
      <c r="D27" s="29"/>
      <c r="E27" s="30"/>
      <c r="F27" s="14"/>
      <c r="G27" s="21"/>
    </row>
    <row r="28" spans="1:7" ht="15.75" x14ac:dyDescent="0.25">
      <c r="A28" s="12"/>
      <c r="B28" s="27" t="s">
        <v>53</v>
      </c>
      <c r="C28" s="28"/>
      <c r="D28" s="29"/>
      <c r="E28" s="30"/>
      <c r="F28" s="14"/>
      <c r="G28" s="21"/>
    </row>
    <row r="29" spans="1:7" ht="15.75" x14ac:dyDescent="0.25">
      <c r="A29" s="12"/>
      <c r="B29" s="27"/>
      <c r="C29" s="28"/>
      <c r="D29" s="29"/>
      <c r="E29" s="30"/>
      <c r="F29" s="14"/>
      <c r="G29" s="21"/>
    </row>
    <row r="30" spans="1:7" ht="15.75" x14ac:dyDescent="0.25">
      <c r="A30" s="13"/>
      <c r="B30" s="31"/>
      <c r="C30" s="32"/>
      <c r="D30" s="33"/>
      <c r="E30" s="34"/>
      <c r="F30" s="15"/>
      <c r="G30" s="21"/>
    </row>
    <row r="31" spans="1:7" ht="15.75" x14ac:dyDescent="0.25">
      <c r="A31" s="7"/>
      <c r="B31" s="8"/>
      <c r="C31" s="7"/>
      <c r="D31" s="9"/>
      <c r="E31" s="10"/>
      <c r="F31" s="11"/>
    </row>
    <row r="32" spans="1:7" ht="15.75" x14ac:dyDescent="0.25">
      <c r="A32" s="3"/>
      <c r="B32" s="3"/>
      <c r="C32" s="3"/>
      <c r="D32" s="3"/>
      <c r="E32" s="3"/>
      <c r="F32" s="3"/>
    </row>
    <row r="33" spans="1:6" ht="15.75" x14ac:dyDescent="0.25">
      <c r="A33" s="47" t="s">
        <v>59</v>
      </c>
      <c r="B33" s="47"/>
      <c r="C33" s="47"/>
      <c r="D33" s="47"/>
      <c r="E33" s="47"/>
      <c r="F33" s="47"/>
    </row>
    <row r="34" spans="1:6" ht="15.75" x14ac:dyDescent="0.25">
      <c r="A34" s="47"/>
      <c r="B34" s="47"/>
      <c r="C34" s="47"/>
      <c r="D34" s="47"/>
      <c r="E34" s="47"/>
      <c r="F34" s="47"/>
    </row>
    <row r="35" spans="1:6" ht="15.75" x14ac:dyDescent="0.25">
      <c r="A35" s="47" t="s">
        <v>9</v>
      </c>
      <c r="B35" s="47"/>
      <c r="C35" s="47"/>
      <c r="D35" s="47"/>
      <c r="E35" s="47"/>
      <c r="F35" s="47"/>
    </row>
    <row r="36" spans="1:6" ht="15.75" x14ac:dyDescent="0.25">
      <c r="A36" s="47"/>
      <c r="B36" s="47"/>
      <c r="C36" s="47"/>
      <c r="D36" s="47"/>
      <c r="E36" s="47"/>
      <c r="F36" s="47"/>
    </row>
    <row r="37" spans="1:6" ht="15.75" x14ac:dyDescent="0.25">
      <c r="A37" s="47" t="s">
        <v>10</v>
      </c>
      <c r="B37" s="47"/>
      <c r="C37" s="47"/>
      <c r="D37" s="47"/>
      <c r="E37" s="47"/>
      <c r="F37" s="47"/>
    </row>
    <row r="38" spans="1:6" ht="15.75" x14ac:dyDescent="0.25">
      <c r="A38" s="3"/>
      <c r="B38" s="3"/>
      <c r="C38" s="3"/>
      <c r="D38" s="3"/>
      <c r="E38" s="3"/>
      <c r="F38" s="3"/>
    </row>
    <row r="39" spans="1:6" ht="15.75" x14ac:dyDescent="0.25">
      <c r="A39" s="47" t="s">
        <v>49</v>
      </c>
      <c r="B39" s="47"/>
      <c r="C39" s="47"/>
      <c r="D39" s="47"/>
      <c r="E39" s="47"/>
      <c r="F39" s="47"/>
    </row>
    <row r="40" spans="1:6" ht="15.75" x14ac:dyDescent="0.25">
      <c r="A40" s="17"/>
      <c r="B40" s="17"/>
      <c r="C40" s="17"/>
      <c r="D40" s="17"/>
      <c r="E40" s="17"/>
      <c r="F40" s="17"/>
    </row>
    <row r="41" spans="1:6" ht="15.75" x14ac:dyDescent="0.25">
      <c r="A41" s="45"/>
      <c r="B41" s="17"/>
      <c r="C41" s="17"/>
      <c r="D41" s="17"/>
      <c r="E41" s="17"/>
      <c r="F41" s="17"/>
    </row>
    <row r="42" spans="1:6" ht="15.75" x14ac:dyDescent="0.25">
      <c r="A42" s="45"/>
      <c r="B42" s="17"/>
      <c r="C42" s="17"/>
      <c r="D42" s="17"/>
      <c r="E42" s="17"/>
      <c r="F42" s="17"/>
    </row>
    <row r="43" spans="1:6" ht="15.75" x14ac:dyDescent="0.25">
      <c r="A43" s="45"/>
      <c r="B43" s="17"/>
      <c r="C43" s="17"/>
      <c r="D43" s="17"/>
      <c r="E43" s="17"/>
      <c r="F43" s="17"/>
    </row>
    <row r="44" spans="1:6" ht="15.75" x14ac:dyDescent="0.25">
      <c r="A44" s="3"/>
      <c r="B44" s="3"/>
      <c r="C44" s="3"/>
      <c r="D44" s="3"/>
      <c r="E44" s="3"/>
      <c r="F44" s="3"/>
    </row>
    <row r="45" spans="1:6" ht="24" customHeight="1" x14ac:dyDescent="0.25">
      <c r="A45" s="47" t="s">
        <v>11</v>
      </c>
      <c r="B45" s="47"/>
      <c r="C45" s="47"/>
      <c r="D45" s="47"/>
      <c r="E45" s="47"/>
      <c r="F45" s="47"/>
    </row>
    <row r="46" spans="1:6" ht="15.75" x14ac:dyDescent="0.25">
      <c r="A46" s="3"/>
      <c r="B46" s="3"/>
      <c r="C46" s="3"/>
      <c r="D46" s="3"/>
      <c r="E46" s="3"/>
      <c r="F46" s="3"/>
    </row>
    <row r="47" spans="1:6" ht="15.75" x14ac:dyDescent="0.25">
      <c r="A47" s="47" t="s">
        <v>12</v>
      </c>
      <c r="B47" s="47"/>
      <c r="C47" s="47"/>
      <c r="D47" s="47"/>
      <c r="E47" s="47"/>
      <c r="F47" s="47"/>
    </row>
    <row r="48" spans="1:6" ht="15.75" x14ac:dyDescent="0.25">
      <c r="A48" s="3"/>
      <c r="B48" s="3"/>
      <c r="C48" s="3"/>
      <c r="D48" s="3"/>
      <c r="E48" s="3"/>
      <c r="F48" s="3"/>
    </row>
    <row r="49" spans="1:6" ht="21.75" customHeight="1" x14ac:dyDescent="0.25">
      <c r="A49" s="47" t="s">
        <v>13</v>
      </c>
      <c r="B49" s="47"/>
      <c r="C49" s="47"/>
      <c r="D49" s="47"/>
      <c r="E49" s="47"/>
      <c r="F49" s="47"/>
    </row>
    <row r="50" spans="1:6" ht="24.75" customHeight="1" x14ac:dyDescent="0.25">
      <c r="A50" s="47" t="s">
        <v>50</v>
      </c>
      <c r="B50" s="47"/>
      <c r="C50" s="47"/>
      <c r="D50" s="47"/>
      <c r="E50" s="47"/>
      <c r="F50" s="47"/>
    </row>
    <row r="51" spans="1:6" ht="15.75" x14ac:dyDescent="0.25">
      <c r="A51" s="3"/>
      <c r="B51" s="3"/>
      <c r="C51" s="3"/>
      <c r="D51" s="3"/>
      <c r="E51" s="3"/>
      <c r="F51" s="3"/>
    </row>
    <row r="52" spans="1:6" ht="15.75" x14ac:dyDescent="0.25">
      <c r="A52" s="3"/>
      <c r="B52" s="3"/>
      <c r="C52" s="3"/>
      <c r="D52" s="3"/>
      <c r="E52" s="3"/>
      <c r="F52" s="3"/>
    </row>
    <row r="53" spans="1:6" ht="15.75" x14ac:dyDescent="0.25">
      <c r="A53" s="3"/>
      <c r="B53" s="3"/>
      <c r="C53" s="3"/>
      <c r="D53" s="3"/>
      <c r="E53" s="3"/>
      <c r="F53" s="3"/>
    </row>
    <row r="54" spans="1:6" ht="15.75" x14ac:dyDescent="0.25">
      <c r="A54" s="3"/>
      <c r="B54" s="3"/>
      <c r="C54" s="3"/>
      <c r="D54" s="3"/>
      <c r="E54" s="3"/>
      <c r="F54" s="3"/>
    </row>
    <row r="55" spans="1:6" ht="15.75" x14ac:dyDescent="0.25">
      <c r="A55" s="3"/>
      <c r="B55" s="3"/>
      <c r="C55" s="3"/>
      <c r="D55" s="3"/>
      <c r="E55" s="3"/>
      <c r="F55" s="3"/>
    </row>
  </sheetData>
  <mergeCells count="21">
    <mergeCell ref="A47:F47"/>
    <mergeCell ref="A49:F49"/>
    <mergeCell ref="A50:F50"/>
    <mergeCell ref="A34:F34"/>
    <mergeCell ref="A35:F35"/>
    <mergeCell ref="A36:F36"/>
    <mergeCell ref="A37:F37"/>
    <mergeCell ref="A39:F39"/>
    <mergeCell ref="A45:F45"/>
    <mergeCell ref="A33:F33"/>
    <mergeCell ref="A1:F1"/>
    <mergeCell ref="A2:F2"/>
    <mergeCell ref="A3:F3"/>
    <mergeCell ref="A4:F4"/>
    <mergeCell ref="A5:F5"/>
    <mergeCell ref="A6:F6"/>
    <mergeCell ref="A7:F7"/>
    <mergeCell ref="A8:F8"/>
    <mergeCell ref="A9:F9"/>
    <mergeCell ref="A10:F10"/>
    <mergeCell ref="C14:F14"/>
  </mergeCells>
  <pageMargins left="0.25" right="0.25" top="0.75" bottom="0.75" header="0.3" footer="0.3"/>
  <pageSetup paperSize="9" scale="67" orientation="portrait" r:id="rId1"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"/>
  <sheetViews>
    <sheetView workbookViewId="0"/>
  </sheetViews>
  <sheetFormatPr defaultRowHeight="15" x14ac:dyDescent="0.2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3</vt:i4>
      </vt:variant>
    </vt:vector>
  </HeadingPairs>
  <TitlesOfParts>
    <vt:vector size="3" baseType="lpstr">
      <vt:lpstr>2022</vt:lpstr>
      <vt:lpstr>2023</vt:lpstr>
      <vt:lpstr>Лист3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User24</dc:creator>
  <cp:lastModifiedBy>Alexey Radchenko</cp:lastModifiedBy>
  <cp:lastPrinted>2024-10-02T10:54:26Z</cp:lastPrinted>
  <dcterms:created xsi:type="dcterms:W3CDTF">2023-02-09T06:21:05Z</dcterms:created>
  <dcterms:modified xsi:type="dcterms:W3CDTF">2024-11-11T11:29:34Z</dcterms:modified>
</cp:coreProperties>
</file>